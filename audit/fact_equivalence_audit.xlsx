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udi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<sst xmlns="http://schemas.openxmlformats.org/spreadsheetml/2006/main" count="203" uniqueCount="164">
  <si>
    <t xml:space="preserve">Independent fact-equivalence audit (AgentISA-Bench, Study 2)</t>
  </si>
  <si>
    <t xml:space="preserve">Purpose: check that each fact's prose sentence (condition B) and formal predicate (condition C) say the same thing, and that both are faithful to the pinned StableHLO spec clause they cite.</t>
  </si>
  <si>
    <t xml:space="preserve">Sample: 24 of 96 facts, stratified: 6 per category (syntax, type, shape, semantics), one per randomly chosen operation group, seed 20261015.</t>
  </si>
  <si>
    <t xml:space="preserve">Spec: openxla/stablehlo docs/spec.md at commit 23d2f926. The 'Spec clause' column is extracted from that file.</t>
  </si>
  <si>
    <t xml:space="preserve">What to fill in (yellow cells on the 'Audit' sheet only):</t>
  </si>
  <si>
    <t xml:space="preserve">Q1  Prose faithful to spec?  Y = states nothing the spec contradicts and omits nothing the fact claims to state; N otherwise.</t>
  </si>
  <si>
    <t xml:space="preserve">Q2  Formal faithful to spec?  Same criterion for the formal predicate.</t>
  </si>
  <si>
    <t xml:space="preserve">Q3  Prose vs formal:  Equivalent | Prose says more | Formal says more | Conflict.</t>
  </si>
  <si>
    <t xml:space="preserve">     'Says more' = one rendering states a condition, edge case or example that the other lacks.</t>
  </si>
  <si>
    <t xml:space="preserve">Notes: describe any discrepancy precisely, quoting the words.</t>
  </si>
  <si>
    <t xml:space="preserve">Example of a completed row (illustrative only; not part of the sample and not counted):</t>
  </si>
  <si>
    <t xml:space="preserve">Fact ELT.SHP.1 | Q1 = Y | Q2 = Y | Q3 = Prose says more | Notes: prose adds 'a vector or scalar is never combined with a matrix without an explicit broadcast_in_dim first'; the predicate shape(lhs)=shape(rhs)=shape(result) implies it but does not state it.</t>
  </si>
  <si>
    <t xml:space="preserve">Auditor: ____________________   Date: ____________   (The auditor should not have authored the facts.)</t>
  </si>
  <si>
    <t xml:space="preserve">#</t>
  </si>
  <si>
    <t xml:space="preserve">Fact ID</t>
  </si>
  <si>
    <t xml:space="preserve">Op group</t>
  </si>
  <si>
    <t xml:space="preserve">Category</t>
  </si>
  <si>
    <t xml:space="preserve">Spec anchor</t>
  </si>
  <si>
    <t xml:space="preserve">Spec clause (pinned spec)</t>
  </si>
  <si>
    <t xml:space="preserve">Prose rendering (B)</t>
  </si>
  <si>
    <t xml:space="preserve">Formal rendering (C)</t>
  </si>
  <si>
    <t xml:space="preserve">Q1 Prose faithful? (Y/N)</t>
  </si>
  <si>
    <t xml:space="preserve">Q2 Formal faithful? (Y/N)</t>
  </si>
  <si>
    <t xml:space="preserve">Q3 Prose vs formal</t>
  </si>
  <si>
    <t xml:space="preserve">Notes</t>
  </si>
  <si>
    <t xml:space="preserve">CMP.SYN.1</t>
  </si>
  <si>
    <t xml:space="preserve">compare</t>
  </si>
  <si>
    <t xml:space="preserve">syntax</t>
  </si>
  <si>
    <t xml:space="preserve">Performs element-wise comparison of `lhs` and `rhs` tensors according to `comparison_direction` and `compare_type`, and produces a `result` tensor. The values of `comparison_direction` and `compare_type` have the following semantics: For boolean and integer element types: * `EQ`: `lhs = rhs`. * `NE`: `lhs != rhs`. * `GE`: `lhs &gt;= rhs`. * `GT`: `lhs &gt; rhs`. * `LE`: `lhs &lt;= rhs`. * `LT`: `lhs &lt; rhs`. For floating-point element types with `compare_type = FLOAT`, the op implements the following IEEE-754 operations: * `EQ`: `compareQuietEqual`. * `NE`: `compareQuietNotEqual`. * `GE`: `compareQuietGreaterEqual`. * `GT`: `compareQuietGreater`. * `LE`: `compareQuietLessEqual`. * `LT`: `compareQuietLess`. For floating-point element types with `compare_type = TOTALORDER`, the op uses the combination of `totalOrder` and `compareQuietEqual` operations from IEEE-754. For floating-point element types </t>
  </si>
  <si>
    <t xml:space="preserve">compare is written `%r = "stablehlo.compare"(%a, %b) {comparison_direction = #stablehlo&lt;comparison_direction LT&gt;, compare_type = #stablehlo&lt;comparison_type FLOAT&gt;} : (tensor&lt;4xf32&gt;, tensor&lt;4xf32&gt;) -&gt; tensor&lt;4xi1&gt;`. In general form: `%r = "stablehlo.compare"(%a, %b) {comparison_direction = #stablehlo&lt;comparison_direction DIR&gt;, compare_type = #stablehlo&lt;comparison_type CT&gt;} : (T, T) -&gt; tensor&lt;...xi1&gt;`.</t>
  </si>
  <si>
    <t xml:space="preserve">`%r = "stablehlo.compare"(%a, %b) {comparison_direction = #stablehlo&lt;comparison_direction DIR&gt;, compare_type = #stablehlo&lt;comparison_type CT&gt;} : (T, T) -&gt; tensor&lt;...xi1&gt;`; example: `%r = "stablehlo.compare"(%a, %b) {comparison_direction = #stablehlo&lt;comparison_direction LT&gt;, compare_type = #stablehlo&lt;comparison_type FLOAT&gt;} : (tensor&lt;4xf32&gt;, tensor&lt;4xf32&gt;) -&gt; tensor&lt;4xi1&gt;`</t>
  </si>
  <si>
    <t xml:space="preserve">SEL.SYN.1</t>
  </si>
  <si>
    <t xml:space="preserve">select</t>
  </si>
  <si>
    <t xml:space="preserve">Produces a `result` tensor where each element is selected from `on_true` or `on_false` tensor based on the value of the corresponding element of `pred`. More formally, `result[result_index] = pred_element ? on_true[result_index] : on_false[result_index]`, where `pred_element = rank(pred) = 0 ? pred[] : pred[result_index]`. For quantized types, performs `dequantize_select_quantize(pred, on_true, on_false, type(result))`.</t>
  </si>
  <si>
    <t xml:space="preserve">select is written `%r = "stablehlo.select"(%pred, %on_true, %on_false) : (tensor&lt;2x2xi1&gt;, tensor&lt;2x2xf32&gt;, tensor&lt;2x2xf32&gt;) -&gt; tensor&lt;2x2xf32&gt;`. In general form: `%r = "stablehlo.select"(%pred, %t, %f) : (tensor&lt;...xi1&gt;, T, T) -&gt; T`.</t>
  </si>
  <si>
    <t xml:space="preserve">`%r = "stablehlo.select"(%pred, %t, %f) : (tensor&lt;...xi1&gt;, T, T) -&gt; T`; example: `%r = "stablehlo.select"(%pred, %on_true, %on_false) : (tensor&lt;2x2xi1&gt;, tensor&lt;2x2xf32&gt;, tensor&lt;2x2xf32&gt;) -&gt; tensor&lt;2x2xf32&gt;`</t>
  </si>
  <si>
    <t xml:space="preserve">ERF.SYN.1</t>
  </si>
  <si>
    <t xml:space="preserve">erf</t>
  </si>
  <si>
    <t xml:space="preserve">chlo</t>
  </si>
  <si>
    <t xml:space="preserve">[general rule from spec section 'chlo', not a single numbered constraint]</t>
  </si>
  <si>
    <t xml:space="preserve">The error function is available as a CHLO operation written `%r = chlo.erf %a : tensor&lt;4xf32&gt; -&gt; tensor&lt;4xf32&gt;` (likewise chlo.erfc); it is accepted by this toolchain alongside StableHLO. In general form: `%r = chlo.{erf|erfc} %a : T -&gt; T`.</t>
  </si>
  <si>
    <t xml:space="preserve">`%r = chlo.{erf|erfc} %a : T -&gt; T`; example: `%r = chlo.erf %a : tensor&lt;4xf32&gt; -&gt; tensor&lt;4xf32&gt;`</t>
  </si>
  <si>
    <t xml:space="preserve">CONST.SYN.1</t>
  </si>
  <si>
    <t xml:space="preserve">constant</t>
  </si>
  <si>
    <t xml:space="preserve">Produces an `output` tensor from a constant `value`.</t>
  </si>
  <si>
    <t xml:space="preserve">A constant is written `%c = stablehlo.constant dense&lt;0.0&gt; : tensor&lt;f32&gt;` or in generic form `%c = "stablehlo.constant"() {value = dense&lt;[1.0, 2.0]&gt; : tensor&lt;2xf32&gt;} : () -&gt; tensor&lt;2xf32&gt;`. In general form: `%c = stablehlo.constant dense&lt;v&gt; : T` | `%c = "stablehlo.constant"() {value = dense&lt;...&gt; : T} : () -&gt; T`.</t>
  </si>
  <si>
    <t xml:space="preserve">`%c = stablehlo.constant dense&lt;v&gt; : T` | `%c = "stablehlo.constant"() {value = dense&lt;...&gt; : T} : () -&gt; T`; example: `%c = stablehlo.constant dense&lt;0.0&gt; : tensor&lt;f32&gt;` `%c = "stablehlo.constant"() {value = dense&lt;[1.0, 2.0]&gt; : tensor&lt;2xf32&gt;} : () -&gt; tensor&lt;2xf32&gt;`</t>
  </si>
  <si>
    <t xml:space="preserve">RW.SYN.1</t>
  </si>
  <si>
    <t xml:space="preserve">reduce_window</t>
  </si>
  <si>
    <t xml:space="preserve">Applies a reduction function `body` to windows of `inputs` and `init_values` and produces `results`. The following diagram shows how elements in `results...` are computed from `inputs...` using a concrete example. More formally, `results...[result_index] = reduce(windows, init_values, axes(inputs...), body)` (see [reduce](#reduce)) where: * `padded_inputs = pad(inputs..., init_values..., padding[:, 0], padding[:, 1], base_dilations - 1)`. * `window_start = result_index * window_strides`. * `window_end = window_start + (window_dimensions - 1) * window_dilations + 1`. * `windows = slice(padded_inputs..., window_start, window_end, window_dilations)`.</t>
  </si>
  <si>
    <t xml:space="preserve">reduce_window is written with a body region, for example `%r = "stablehlo.reduce_window"(%x, %init) ({ ^bb0(%a: tensor&lt;f32&gt;, %b: tensor&lt;f32&gt;): %m = stablehlo.maximum %a, %b : tensor&lt;f32&gt; stablehlo.return %m : tensor&lt;f32&gt; }) {window_dimensions = array&lt;i64: 1, 1, 2, 2&gt;, window_strides = array&lt;i64: 1, 1, 2, 2&gt;, padding = dense&lt;0&gt; : tensor&lt;4x2xi64&gt;} : (tensor&lt;2x3x8x8xf32&gt;, tensor&lt;f32&gt;) -&gt; tensor&lt;2x3x4x4xf32&gt;`. In general form: `%r = "stablehlo.reduce_window"(%x, %init) ({ ^bb0(%a: tensor&lt;E&gt;, %b: tensor&lt;E&gt;): ... stablehlo.return %v : tensor&lt;E&gt; }) {window_dimensions = array&lt;i64: ...&gt;, window_strides = array&lt;i64: ...&gt;, base_dilations = array&lt;i64: ...&gt;?, window_dilations = array&lt;i64: ...&gt;?, padding = dense&lt;[[lo, hi], ...]&gt; : tensor&lt;Rx2xi64&gt;?} : (T_in, tensor&lt;E&gt;) -&gt; T_out`.</t>
  </si>
  <si>
    <t xml:space="preserve">`%r = "stablehlo.reduce_window"(%x, %init) ({ ^bb0(%a: tensor&lt;E&gt;, %b: tensor&lt;E&gt;): ... stablehlo.return %v : tensor&lt;E&gt; }) {window_dimensions = array&lt;i64: ...&gt;, window_strides = array&lt;i64: ...&gt;, base_dilations = array&lt;i64: ...&gt;?, window_dilations = array&lt;i64: ...&gt;?, padding = dense&lt;[[lo, hi], ...]&gt; : tensor&lt;Rx2xi64&gt;?} : (T_in, tensor&lt;E&gt;) -&gt; T_out`; example: `%r = "stablehlo.reduce_window"(%x, %init) ({ ^bb0(%a: tensor&lt;f32&gt;, %b: tensor&lt;f32&gt;): %m = stablehlo.maximum %a, %b : tensor&lt;f32&gt; stablehlo.return %m : tensor&lt;f32&gt; }) {window_dimensions = array&lt;i64: 1, 1, 2, 2&gt;, window_strides = array&lt;i64: 1, 1, 2, 2&gt;, padding = dense&lt;0&gt; : tensor&lt;4x2xi64&gt;} : (tensor&lt;2x3x8x8xf32&gt;, tensor&lt;f32&gt;) -&gt; tensor&lt;2x3x4x4xf32&gt;`</t>
  </si>
  <si>
    <t xml:space="preserve">RED.SYN.1</t>
  </si>
  <si>
    <t xml:space="preserve">reduce</t>
  </si>
  <si>
    <t xml:space="preserve">Applies a reduction function `body` to `inputs` and `init_values` along the `dimensions` and produces `results` tensors. The order of reductions is implementation-defined, which means that `body` and `init_values` must form a monoid to guarantee that the operation produces the same results for all inputs on all implementations. However, this condition doesn't hold for many popular reductions. E.g. floating-point addition for `body` and zero for `init_values` don't actually form a monoid because floating-point addition is not associative. More formally, `results...[j0, ..., jR-1] = reduce(input_slices_converted)` where: * `input_slices = inputs...[j0, ..., :, ..., jR-1]`, where `:` are inserted at `dimensions`. * `input_slices_converted = to_destination_type(input_slices..., type(func_inputs(body)[:len(func_inputs(body))//2])...)`. * `init_values_converted = to_destination_type(init_value</t>
  </si>
  <si>
    <t xml:space="preserve">reduce is written with a body region, for example `%r = "stablehlo.reduce"(%x, %init) ({ ^bb0(%a: tensor&lt;f32&gt;, %b: tensor&lt;f32&gt;): %s = "stablehlo.add"(%a, %b) : (tensor&lt;f32&gt;, tensor&lt;f32&gt;) -&gt; tensor&lt;f32&gt; "stablehlo.return"(%s) : (tensor&lt;f32&gt;) -&gt; () }) {dimensions = array&lt;i64: 1&gt;} : (tensor&lt;4x3xf32&gt;, tensor&lt;f32&gt;) -&gt; tensor&lt;4xf32&gt;`. In general form: `%r = "stablehlo.reduce"(%x, %init) ({ ^bb0(%a: tensor&lt;E&gt;, %b: tensor&lt;E&gt;): ... "stablehlo.return"(%v) : (tensor&lt;E&gt;) -&gt; () }) {dimensions = array&lt;i64: ...&gt;} : (T_in, tensor&lt;E&gt;) -&gt; T_out`.</t>
  </si>
  <si>
    <t xml:space="preserve">`%r = "stablehlo.reduce"(%x, %init) ({ ^bb0(%a: tensor&lt;E&gt;, %b: tensor&lt;E&gt;): ... "stablehlo.return"(%v) : (tensor&lt;E&gt;) -&gt; () }) {dimensions = array&lt;i64: ...&gt;} : (T_in, tensor&lt;E&gt;) -&gt; T_out`; example: `%r = "stablehlo.reduce"(%x, %init) ({ ^bb0(%a: tensor&lt;f32&gt;, %b: tensor&lt;f32&gt;): %s = "stablehlo.add"(%a, %b) : (tensor&lt;f32&gt;, tensor&lt;f32&gt;) -&gt; tensor&lt;f32&gt; "stablehlo.return"(%s) : (tensor&lt;f32&gt;) -&gt; () }) {dimensions = array&lt;i64: 1&gt;} : (tensor&lt;4x3xf32&gt;, tensor&lt;f32&gt;) -&gt; tensor&lt;4xf32&gt;`</t>
  </si>
  <si>
    <t xml:space="preserve">CMP.TYP.1</t>
  </si>
  <si>
    <t xml:space="preserve">type</t>
  </si>
  <si>
    <t xml:space="preserve">compare (C1)</t>
  </si>
  <si>
    <t xml:space="preserve">* (C1) `baseline_element_type(lhs) = baseline_element_type(rhs)`.</t>
  </si>
  <si>
    <t xml:space="preserve">lhs and rhs have the same element type and the result element type is i1.</t>
  </si>
  <si>
    <t xml:space="preserve">element_type(lhs) = element_type(rhs) ∧ element_type(result) = i1</t>
  </si>
  <si>
    <t xml:space="preserve">CONV.TYP.1</t>
  </si>
  <si>
    <t xml:space="preserve">convolution</t>
  </si>
  <si>
    <t xml:space="preserve">convolution (C27)</t>
  </si>
  <si>
    <t xml:space="preserve">* (C27) `element_type(lhs) = element_type(rhs) = element_type(result)` or (`is_fp8(element_type(lhs))` and `is_fp8(element_type(rhs))` and `element_type(result) = element_type(lhs)`). * If the operation uses quantized tensors:</t>
  </si>
  <si>
    <t xml:space="preserve">The input, kernel and result have the same element type.</t>
  </si>
  <si>
    <t xml:space="preserve">element_type(lhs) = element_type(rhs) = element_type(result)</t>
  </si>
  <si>
    <t xml:space="preserve">LOG.TYP.1</t>
  </si>
  <si>
    <t xml:space="preserve">logical</t>
  </si>
  <si>
    <t xml:space="preserve">and (C1)</t>
  </si>
  <si>
    <t xml:space="preserve">* (C1) `type(lhs) = type(rhs) = type(result)`.</t>
  </si>
  <si>
    <t xml:space="preserve">and, or and not require operands of boolean or integer type with identical types, and act bitwise on integers.</t>
  </si>
  <si>
    <t xml:space="preserve">type(lhs) = type(rhs) = type(result) ∧ is_boolean_or_integer(element_type)</t>
  </si>
  <si>
    <t xml:space="preserve">CAT.TYP.1</t>
  </si>
  <si>
    <t xml:space="preserve">concatenate</t>
  </si>
  <si>
    <t xml:space="preserve">concatenate (C1, C5)</t>
  </si>
  <si>
    <t xml:space="preserve">* (C1) `same(element_type(inputs...))`. * (C5) `element_type(result) = element_type(inputs[0])`.</t>
  </si>
  <si>
    <t xml:space="preserve">All inputs and the result have the same element type.</t>
  </si>
  <si>
    <t xml:space="preserve">same(element_type(inputs...)) = element_type(result)</t>
  </si>
  <si>
    <t xml:space="preserve">CONST.TYP.1</t>
  </si>
  <si>
    <t xml:space="preserve">The literal's type must equal the result type, and a single-value literal such as `dense&lt;0.0&gt; : tensor&lt;4x3xf32&gt;` fills every element of the tensor.</t>
  </si>
  <si>
    <t xml:space="preserve">type(value) = type(output); `dense&lt;v&gt; : T` is a splat of v over shape(T)</t>
  </si>
  <si>
    <t xml:space="preserve">MOD.TYP.1</t>
  </si>
  <si>
    <t xml:space="preserve">module</t>
  </si>
  <si>
    <t xml:space="preserve">types</t>
  </si>
  <si>
    <t xml:space="preserve">[general rule from spec section 'types', not a single numbered constraint]</t>
  </si>
  <si>
    <t xml:space="preserve">A tensor type is written with its dimension sizes and element type, such as `tensor&lt;4x3xf32&gt;`, and a scalar is a rank-0 tensor such as `tensor&lt;f32&gt;`; the element types used here are f32, i32, i64 and i1 (boolean).</t>
  </si>
  <si>
    <t xml:space="preserve">T := `tensor&lt;d0 x ... x elem&gt;`; scalar := `tensor&lt;elem&gt;`; elem ∈ {f32, i32, i64, i1}</t>
  </si>
  <si>
    <t xml:space="preserve">RS.SHP.1</t>
  </si>
  <si>
    <t xml:space="preserve">reshape</t>
  </si>
  <si>
    <t xml:space="preserve">shape</t>
  </si>
  <si>
    <t xml:space="preserve">reshape (C2)</t>
  </si>
  <si>
    <t xml:space="preserve">* (C2) `size(operand) = size(result)`.</t>
  </si>
  <si>
    <t xml:space="preserve">The operand and the result must contain the same number of elements.</t>
  </si>
  <si>
    <t xml:space="preserve">size(operand) = size(result)</t>
  </si>
  <si>
    <t xml:space="preserve">RED.SHP.2</t>
  </si>
  <si>
    <t xml:space="preserve">reduce (C4-C5)</t>
  </si>
  <si>
    <t xml:space="preserve">* (C4) `0 &lt;= dimensions &lt; rank(inputs[0])`. * (C5) `is_unique(dimensions)`.</t>
  </si>
  <si>
    <t xml:space="preserve">The reduced dimensions must be distinct and each between 0 and the input rank minus one.</t>
  </si>
  <si>
    <t xml:space="preserve">0 &lt;= dimensions &lt; rank(input) ∧ is_unique(dimensions)</t>
  </si>
  <si>
    <t xml:space="preserve">PAD.SHP.1</t>
  </si>
  <si>
    <t xml:space="preserve">pad</t>
  </si>
  <si>
    <t xml:space="preserve">pad (C2-C3)</t>
  </si>
  <si>
    <t xml:space="preserve">* (C2) `size(edge_padding_low) = size(edge_padding_high) = size(interior_padding) = rank(operand)`. * (C3) `0 &lt;= interior_padding`.</t>
  </si>
  <si>
    <t xml:space="preserve">The three padding lists each have one entry per operand dimension and interior padding is non-negative.</t>
  </si>
  <si>
    <t xml:space="preserve">size(edge_padding_low) = size(edge_padding_high) = size(interior_padding) = rank(operand) ∧ 0 &lt;= interior_padding</t>
  </si>
  <si>
    <t xml:space="preserve">DS.SHP.1</t>
  </si>
  <si>
    <t xml:space="preserve">dynamic_slice</t>
  </si>
  <si>
    <t xml:space="preserve">dynamic_slice (C2, C4-C5)</t>
  </si>
  <si>
    <t xml:space="preserve">* (C2) `size(start_indices) = size(slice_sizes) = rank(operand)`. * (C4) `0 &lt;= slice_sizes &lt;= shape(operand)`. * (C5) `shape(result) = slice_sizes`.</t>
  </si>
  <si>
    <t xml:space="preserve">There is one start index and one slice size per operand dimension, each slice size is at most the dimension size, and the result shape equals slice_sizes.</t>
  </si>
  <si>
    <t xml:space="preserve">size(start_indices) = size(slice_sizes) = rank(operand) ∧ 0 &lt;= slice_sizes &lt;= shape(operand) ∧ shape(result) = slice_sizes</t>
  </si>
  <si>
    <t xml:space="preserve">SL.SHP.3</t>
  </si>
  <si>
    <t xml:space="preserve">slice</t>
  </si>
  <si>
    <t xml:space="preserve">slice (C5)</t>
  </si>
  <si>
    <t xml:space="preserve">* (C5) `shape(result) = ceil((limit_indices - start_indices) / strides)`.</t>
  </si>
  <si>
    <t xml:space="preserve">Each result dimension has size ceil((limit - start) / stride).</t>
  </si>
  <si>
    <t xml:space="preserve">shape(result) = ceil((limit_indices - start_indices) / strides)</t>
  </si>
  <si>
    <t xml:space="preserve">CL.SHP.1</t>
  </si>
  <si>
    <t xml:space="preserve">clamp</t>
  </si>
  <si>
    <t xml:space="preserve">clamp (C1-C2)</t>
  </si>
  <si>
    <t xml:space="preserve">* (C1) `rank(min) = 0 or shape(min) = shape(operand)`. * (C2) `rank(max) = 0 or shape(max) = shape(operand)`.</t>
  </si>
  <si>
    <t xml:space="preserve">min and max are each either rank 0 or the same shape as the operand.</t>
  </si>
  <si>
    <t xml:space="preserve">(rank(min) = 0 ∨ shape(min) = shape(operand)) ∧ (rank(max) = 0 ∨ shape(max) = shape(operand))</t>
  </si>
  <si>
    <t xml:space="preserve">CMP.SEM.1</t>
  </si>
  <si>
    <t xml:space="preserve">semantics</t>
  </si>
  <si>
    <t xml:space="preserve">The direction EQ, NE, GE, GT, LE or LT tests lhs against rhs element-wise, for example GT gives true where lhs &gt; rhs.</t>
  </si>
  <si>
    <t xml:space="preserve">result[i] = lhs[i] DIR rhs[i], DIR ∈ {EQ: =, NE: ≠, GE: ≥, GT: &gt;, LE: ≤, LT: &lt;}</t>
  </si>
  <si>
    <t xml:space="preserve">SL.SEM.1</t>
  </si>
  <si>
    <t xml:space="preserve">Extracts a slice from the `operand` using statically-computed starting indices and produces a `result` tensor. `start_indices` contain the starting indices of the slice for each dimension, `limit_indices` contain the ending indices (exclusive) for the slice for each dimension, and `strides` contain the strides for each dimension. More formally, `result[result_index] = operand[operand_index]` where `operand_index = start_indices + result_index * strides`.</t>
  </si>
  <si>
    <t xml:space="preserve">Result element i is operand element start + i * stride in every dimension.</t>
  </si>
  <si>
    <t xml:space="preserve">result[i] = operand[start_indices + i * strides]</t>
  </si>
  <si>
    <t xml:space="preserve">TR.SEM.1</t>
  </si>
  <si>
    <t xml:space="preserve">transpose</t>
  </si>
  <si>
    <t xml:space="preserve">Permutes the dimensions of `operand` tensor using `permutation` and produces a `result` tensor. More formally, `result[result_index] = operand[operand_index]` where `result_index[d] = operand_index[permutation[d]]`.</t>
  </si>
  <si>
    <t xml:space="preserve">Result dimension d is operand dimension permutation[d], so the element at result index i comes from the operand index whose dimension permutation[d] equals i[d].</t>
  </si>
  <si>
    <t xml:space="preserve">result[i] = operand[j] where j[permutation[d]] = i[d]</t>
  </si>
  <si>
    <t xml:space="preserve">CVT.SEM.1</t>
  </si>
  <si>
    <t xml:space="preserve">convert</t>
  </si>
  <si>
    <t xml:space="preserve">Performs an element-wise conversion from one element type to another on `operand` tensor and produces a `result` tensor. For **boolean-to-any-supported-type** conversions, the value `false` is converted to zero, and the value `true` is converted to one. For **any-supported-type-to-boolean** conversions, a zero value is converted to `false`, and non-zero values are converted to `true`. See below for how this work for complex types. For conversions involving **integer-to-integer**, **integer-to-floating-point** or **floating-point-to-floating-point**, if the source value can be exactly represented in the destination type, the result value is that exact representation. Otherwise, the behavior is TBD ([#180](https://github.com/openxla/stablehlo/issues/180)). For conversions involving **floating-point-to-integer**, the fractional part is truncated. If the truncated value cannot be represented</t>
  </si>
  <si>
    <t xml:space="preserve">Float-to-integer conversion truncates the fractional part toward zero, a boolean converts to 0 or 1, and a number converts to a boolean as true exactly when it is non-zero.</t>
  </si>
  <si>
    <t xml:space="preserve">float→int: trunc(x); i1→num: false→0, true→1; num→i1: x ≠ 0</t>
  </si>
  <si>
    <t xml:space="preserve">MATH.SEM.1</t>
  </si>
  <si>
    <t xml:space="preserve">math</t>
  </si>
  <si>
    <t xml:space="preserve">logistic</t>
  </si>
  <si>
    <t xml:space="preserve">Performs element-wise logistic operation on `operand` tensor and produces a `result` tensor. Depending on the element type, does the following: * For floats: `division(1, addition(1, exp(-x)))` from IEEE-754. * For complex numbers: complex logistic. * For quantized types: `dequantize_op_quantize(logistic, operand, type(result))`.</t>
  </si>
  <si>
    <t xml:space="preserve">logistic computes 1 / (1 + exp(-x)), log_plus_one computes log(1 + x), exponential_minus_one computes exp(x) - 1, and power raises each lhs element to the corresponding rhs element, so both operands must already have the same shape.</t>
  </si>
  <si>
    <t xml:space="preserve">logistic(x) = 1/(1+e^{-x}); log_plus_one(x) = log(1+x); exponential_minus_one(x) = e^x - 1; power(a,b)[i] = a[i]^{b[i]}, shape(a) = shape(b)</t>
  </si>
  <si>
    <t xml:space="preserve">RS.SEM.1</t>
  </si>
  <si>
    <t xml:space="preserve">Performs reshape of `operand` tensor to a `result` tensor. Conceptually, it amounts to keeping the same canonical representation but potentially changing the shape, e.g. from `tensor&lt;2x3xf32&gt;` to `tensor&lt;3x2xf32&gt;` or `tensor&lt;6xf32&gt;`. More formally, `result[result_index] = operand[operand_index]` where `result_index` and `operand_index` have the same position in the lexicographic ordering of `index_space(result)` and `index_space(operand)`.</t>
  </si>
  <si>
    <t xml:space="preserve">reshape keeps elements in row-major (lexicographic) order and never reorders them, so changing the order of axes requires a transpose.</t>
  </si>
  <si>
    <t xml:space="preserve">linear_index_rowmajor(result_index) = linear_index_rowmajor(operand_index)</t>
  </si>
  <si>
    <t xml:space="preserve">Summary (updates automatically from the Audit sheet)</t>
  </si>
  <si>
    <t xml:space="preserve">Facts in sample</t>
  </si>
  <si>
    <t xml:space="preserve">Rows completed (Q3 answered)</t>
  </si>
  <si>
    <t xml:space="preserve">Q1 prose faithful = Y</t>
  </si>
  <si>
    <t xml:space="preserve">Q2 formal faithful = Y</t>
  </si>
  <si>
    <t xml:space="preserve">Q3 Equivalent</t>
  </si>
  <si>
    <t xml:space="preserve">Q3 Prose says more</t>
  </si>
  <si>
    <t xml:space="preserve">Q3 Formal says more</t>
  </si>
  <si>
    <t xml:space="preserve">Q3 Conflict</t>
  </si>
  <si>
    <t xml:space="preserve">Equivalent share of completed 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</si>
</sst>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8" min="6" style="0" width="48"/>
    <col collapsed="false" customWidth="true" hidden="false" outlineLevel="0" max="10" min="9" style="0" width="11"/>
    <col collapsed="false" customWidth="true" hidden="false" outlineLevel="0" max="11" min="11" style="0" width="16"/>
    <col collapsed="false" customWidth="true" hidden="false" outlineLevel="0" max="12" min="12" style="0" width="36"/>
  </cols>
  <sheetData>
    <row r="1" customFormat="false" ht="39.5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customFormat="false" ht="168.65" hidden="false" customHeight="false" outlineLevel="0" collapsed="false">
      <c r="A2" s="5" t="n">
        <v>1</v>
      </c>
      <c r="B2" s="5" t="s">
        <v>25</v>
      </c>
      <c r="C2" s="5" t="s">
        <v>26</v>
      </c>
      <c r="D2" s="5" t="s">
        <v>27</v>
      </c>
      <c r="E2" s="5" t="s">
        <v>26</v>
      </c>
      <c r="F2" s="5" t="s">
        <v>28</v>
      </c>
      <c r="G2" s="5" t="s">
        <v>29</v>
      </c>
      <c r="H2" s="5" t="s">
        <v>30</v>
      </c>
      <c r="I2" s="6"/>
      <c r="J2" s="6"/>
      <c r="K2" s="6"/>
      <c r="L2" s="6"/>
    </row>
    <row r="3" customFormat="false" ht="85.05" hidden="false" customHeight="false" outlineLevel="0" collapsed="false">
      <c r="A3" s="5" t="n">
        <v>2</v>
      </c>
      <c r="B3" s="5" t="s">
        <v>31</v>
      </c>
      <c r="C3" s="5" t="s">
        <v>32</v>
      </c>
      <c r="D3" s="5" t="s">
        <v>27</v>
      </c>
      <c r="E3" s="5" t="s">
        <v>32</v>
      </c>
      <c r="F3" s="5" t="s">
        <v>33</v>
      </c>
      <c r="G3" s="5" t="s">
        <v>34</v>
      </c>
      <c r="H3" s="5" t="s">
        <v>35</v>
      </c>
      <c r="I3" s="6"/>
      <c r="J3" s="6"/>
      <c r="K3" s="6"/>
      <c r="L3" s="6"/>
    </row>
    <row r="4" customFormat="false" ht="43.25" hidden="false" customHeight="false" outlineLevel="0" collapsed="false">
      <c r="A4" s="5" t="n">
        <v>3</v>
      </c>
      <c r="B4" s="5" t="s">
        <v>36</v>
      </c>
      <c r="C4" s="5" t="s">
        <v>37</v>
      </c>
      <c r="D4" s="5" t="s">
        <v>27</v>
      </c>
      <c r="E4" s="5" t="s">
        <v>38</v>
      </c>
      <c r="F4" s="5" t="s">
        <v>39</v>
      </c>
      <c r="G4" s="5" t="s">
        <v>40</v>
      </c>
      <c r="H4" s="5" t="s">
        <v>41</v>
      </c>
      <c r="I4" s="6"/>
      <c r="J4" s="6"/>
      <c r="K4" s="6"/>
      <c r="L4" s="6"/>
    </row>
    <row r="5" customFormat="false" ht="64.15" hidden="false" customHeight="false" outlineLevel="0" collapsed="false">
      <c r="A5" s="5" t="n">
        <v>4</v>
      </c>
      <c r="B5" s="5" t="s">
        <v>42</v>
      </c>
      <c r="C5" s="5" t="s">
        <v>43</v>
      </c>
      <c r="D5" s="5" t="s">
        <v>27</v>
      </c>
      <c r="E5" s="5" t="s">
        <v>43</v>
      </c>
      <c r="F5" s="5" t="s">
        <v>44</v>
      </c>
      <c r="G5" s="5" t="s">
        <v>45</v>
      </c>
      <c r="H5" s="5" t="s">
        <v>46</v>
      </c>
      <c r="I5" s="6"/>
      <c r="J5" s="6"/>
      <c r="K5" s="6"/>
      <c r="L5" s="6"/>
    </row>
    <row r="6" customFormat="false" ht="147.75" hidden="false" customHeight="false" outlineLevel="0" collapsed="false">
      <c r="A6" s="5" t="n">
        <v>5</v>
      </c>
      <c r="B6" s="5" t="s">
        <v>47</v>
      </c>
      <c r="C6" s="5" t="s">
        <v>48</v>
      </c>
      <c r="D6" s="5" t="s">
        <v>27</v>
      </c>
      <c r="E6" s="5" t="s">
        <v>48</v>
      </c>
      <c r="F6" s="5" t="s">
        <v>49</v>
      </c>
      <c r="G6" s="5" t="s">
        <v>50</v>
      </c>
      <c r="H6" s="5" t="s">
        <v>51</v>
      </c>
      <c r="I6" s="6"/>
      <c r="J6" s="6"/>
      <c r="K6" s="6"/>
      <c r="L6" s="6"/>
    </row>
    <row r="7" customFormat="false" ht="158.2" hidden="false" customHeight="false" outlineLevel="0" collapsed="false">
      <c r="A7" s="5" t="n">
        <v>6</v>
      </c>
      <c r="B7" s="5" t="s">
        <v>52</v>
      </c>
      <c r="C7" s="5" t="s">
        <v>53</v>
      </c>
      <c r="D7" s="5" t="s">
        <v>27</v>
      </c>
      <c r="E7" s="5" t="s">
        <v>53</v>
      </c>
      <c r="F7" s="5" t="s">
        <v>54</v>
      </c>
      <c r="G7" s="5" t="s">
        <v>55</v>
      </c>
      <c r="H7" s="5" t="s">
        <v>56</v>
      </c>
      <c r="I7" s="6"/>
      <c r="J7" s="6"/>
      <c r="K7" s="6"/>
      <c r="L7" s="6"/>
    </row>
    <row r="8" customFormat="false" ht="22.35" hidden="false" customHeight="false" outlineLevel="0" collapsed="false">
      <c r="A8" s="5" t="n">
        <v>7</v>
      </c>
      <c r="B8" s="5" t="s">
        <v>57</v>
      </c>
      <c r="C8" s="5" t="s">
        <v>26</v>
      </c>
      <c r="D8" s="5" t="s">
        <v>58</v>
      </c>
      <c r="E8" s="5" t="s">
        <v>59</v>
      </c>
      <c r="F8" s="5" t="s">
        <v>60</v>
      </c>
      <c r="G8" s="5" t="s">
        <v>61</v>
      </c>
      <c r="H8" s="5" t="s">
        <v>62</v>
      </c>
      <c r="I8" s="6"/>
      <c r="J8" s="6"/>
      <c r="K8" s="6"/>
      <c r="L8" s="6"/>
    </row>
    <row r="9" customFormat="false" ht="43.25" hidden="false" customHeight="false" outlineLevel="0" collapsed="false">
      <c r="A9" s="5" t="n">
        <v>8</v>
      </c>
      <c r="B9" s="5" t="s">
        <v>63</v>
      </c>
      <c r="C9" s="5" t="s">
        <v>64</v>
      </c>
      <c r="D9" s="5" t="s">
        <v>58</v>
      </c>
      <c r="E9" s="5" t="s">
        <v>65</v>
      </c>
      <c r="F9" s="5" t="s">
        <v>66</v>
      </c>
      <c r="G9" s="5" t="s">
        <v>67</v>
      </c>
      <c r="H9" s="5" t="s">
        <v>68</v>
      </c>
      <c r="I9" s="6"/>
      <c r="J9" s="6"/>
      <c r="K9" s="6"/>
      <c r="L9" s="6"/>
    </row>
    <row r="10" customFormat="false" ht="22.35" hidden="false" customHeight="false" outlineLevel="0" collapsed="false">
      <c r="A10" s="5" t="n">
        <v>9</v>
      </c>
      <c r="B10" s="5" t="s">
        <v>69</v>
      </c>
      <c r="C10" s="5" t="s">
        <v>70</v>
      </c>
      <c r="D10" s="5" t="s">
        <v>58</v>
      </c>
      <c r="E10" s="5" t="s">
        <v>71</v>
      </c>
      <c r="F10" s="5" t="s">
        <v>72</v>
      </c>
      <c r="G10" s="5" t="s">
        <v>73</v>
      </c>
      <c r="H10" s="5" t="s">
        <v>74</v>
      </c>
      <c r="I10" s="6"/>
      <c r="J10" s="6"/>
      <c r="K10" s="6"/>
      <c r="L10" s="6"/>
    </row>
    <row r="11" customFormat="false" ht="22.35" hidden="false" customHeight="false" outlineLevel="0" collapsed="false">
      <c r="A11" s="5" t="n">
        <v>10</v>
      </c>
      <c r="B11" s="5" t="s">
        <v>75</v>
      </c>
      <c r="C11" s="5" t="s">
        <v>76</v>
      </c>
      <c r="D11" s="5" t="s">
        <v>58</v>
      </c>
      <c r="E11" s="5" t="s">
        <v>77</v>
      </c>
      <c r="F11" s="5" t="s">
        <v>78</v>
      </c>
      <c r="G11" s="5" t="s">
        <v>79</v>
      </c>
      <c r="H11" s="5" t="s">
        <v>80</v>
      </c>
      <c r="I11" s="6"/>
      <c r="J11" s="6"/>
      <c r="K11" s="6"/>
      <c r="L11" s="6"/>
    </row>
    <row r="12" customFormat="false" ht="32.8" hidden="false" customHeight="false" outlineLevel="0" collapsed="false">
      <c r="A12" s="5" t="n">
        <v>11</v>
      </c>
      <c r="B12" s="5" t="s">
        <v>81</v>
      </c>
      <c r="C12" s="5" t="s">
        <v>43</v>
      </c>
      <c r="D12" s="5" t="s">
        <v>58</v>
      </c>
      <c r="E12" s="5" t="s">
        <v>43</v>
      </c>
      <c r="F12" s="5" t="s">
        <v>44</v>
      </c>
      <c r="G12" s="5" t="s">
        <v>82</v>
      </c>
      <c r="H12" s="5" t="s">
        <v>83</v>
      </c>
      <c r="I12" s="6"/>
      <c r="J12" s="6"/>
      <c r="K12" s="6"/>
      <c r="L12" s="6"/>
    </row>
    <row r="13" customFormat="false" ht="43.25" hidden="false" customHeight="false" outlineLevel="0" collapsed="false">
      <c r="A13" s="5" t="n">
        <v>12</v>
      </c>
      <c r="B13" s="5" t="s">
        <v>84</v>
      </c>
      <c r="C13" s="5" t="s">
        <v>85</v>
      </c>
      <c r="D13" s="5" t="s">
        <v>58</v>
      </c>
      <c r="E13" s="5" t="s">
        <v>86</v>
      </c>
      <c r="F13" s="5" t="s">
        <v>87</v>
      </c>
      <c r="G13" s="5" t="s">
        <v>88</v>
      </c>
      <c r="H13" s="5" t="s">
        <v>89</v>
      </c>
      <c r="I13" s="6"/>
      <c r="J13" s="6"/>
      <c r="K13" s="6"/>
      <c r="L13" s="6"/>
    </row>
    <row r="14" customFormat="false" ht="22.35" hidden="false" customHeight="false" outlineLevel="0" collapsed="false">
      <c r="A14" s="5" t="n">
        <v>13</v>
      </c>
      <c r="B14" s="5" t="s">
        <v>90</v>
      </c>
      <c r="C14" s="5" t="s">
        <v>91</v>
      </c>
      <c r="D14" s="5" t="s">
        <v>92</v>
      </c>
      <c r="E14" s="5" t="s">
        <v>93</v>
      </c>
      <c r="F14" s="5" t="s">
        <v>94</v>
      </c>
      <c r="G14" s="5" t="s">
        <v>95</v>
      </c>
      <c r="H14" s="5" t="s">
        <v>96</v>
      </c>
      <c r="I14" s="6"/>
      <c r="J14" s="6"/>
      <c r="K14" s="6"/>
      <c r="L14" s="6"/>
    </row>
    <row r="15" customFormat="false" ht="22.35" hidden="false" customHeight="false" outlineLevel="0" collapsed="false">
      <c r="A15" s="5" t="n">
        <v>14</v>
      </c>
      <c r="B15" s="5" t="s">
        <v>97</v>
      </c>
      <c r="C15" s="5" t="s">
        <v>53</v>
      </c>
      <c r="D15" s="5" t="s">
        <v>92</v>
      </c>
      <c r="E15" s="5" t="s">
        <v>98</v>
      </c>
      <c r="F15" s="5" t="s">
        <v>99</v>
      </c>
      <c r="G15" s="5" t="s">
        <v>100</v>
      </c>
      <c r="H15" s="5" t="s">
        <v>101</v>
      </c>
      <c r="I15" s="6"/>
      <c r="J15" s="6"/>
      <c r="K15" s="6"/>
      <c r="L15" s="6"/>
    </row>
    <row r="16" customFormat="false" ht="32.8" hidden="false" customHeight="false" outlineLevel="0" collapsed="false">
      <c r="A16" s="5" t="n">
        <v>15</v>
      </c>
      <c r="B16" s="5" t="s">
        <v>102</v>
      </c>
      <c r="C16" s="5" t="s">
        <v>103</v>
      </c>
      <c r="D16" s="5" t="s">
        <v>92</v>
      </c>
      <c r="E16" s="5" t="s">
        <v>104</v>
      </c>
      <c r="F16" s="5" t="s">
        <v>105</v>
      </c>
      <c r="G16" s="5" t="s">
        <v>106</v>
      </c>
      <c r="H16" s="5" t="s">
        <v>107</v>
      </c>
      <c r="I16" s="6"/>
      <c r="J16" s="6"/>
      <c r="K16" s="6"/>
      <c r="L16" s="6"/>
    </row>
    <row r="17" customFormat="false" ht="32.8" hidden="false" customHeight="false" outlineLevel="0" collapsed="false">
      <c r="A17" s="5" t="n">
        <v>16</v>
      </c>
      <c r="B17" s="5" t="s">
        <v>108</v>
      </c>
      <c r="C17" s="5" t="s">
        <v>109</v>
      </c>
      <c r="D17" s="5" t="s">
        <v>92</v>
      </c>
      <c r="E17" s="5" t="s">
        <v>110</v>
      </c>
      <c r="F17" s="5" t="s">
        <v>111</v>
      </c>
      <c r="G17" s="5" t="s">
        <v>112</v>
      </c>
      <c r="H17" s="5" t="s">
        <v>113</v>
      </c>
      <c r="I17" s="6"/>
      <c r="J17" s="6"/>
      <c r="K17" s="6"/>
      <c r="L17" s="6"/>
    </row>
    <row r="18" customFormat="false" ht="22.35" hidden="false" customHeight="false" outlineLevel="0" collapsed="false">
      <c r="A18" s="5" t="n">
        <v>17</v>
      </c>
      <c r="B18" s="5" t="s">
        <v>114</v>
      </c>
      <c r="C18" s="5" t="s">
        <v>115</v>
      </c>
      <c r="D18" s="5" t="s">
        <v>92</v>
      </c>
      <c r="E18" s="5" t="s">
        <v>116</v>
      </c>
      <c r="F18" s="5" t="s">
        <v>117</v>
      </c>
      <c r="G18" s="5" t="s">
        <v>118</v>
      </c>
      <c r="H18" s="5" t="s">
        <v>119</v>
      </c>
      <c r="I18" s="6"/>
      <c r="J18" s="6"/>
      <c r="K18" s="6"/>
      <c r="L18" s="6"/>
    </row>
    <row r="19" customFormat="false" ht="22.35" hidden="false" customHeight="false" outlineLevel="0" collapsed="false">
      <c r="A19" s="5" t="n">
        <v>18</v>
      </c>
      <c r="B19" s="5" t="s">
        <v>120</v>
      </c>
      <c r="C19" s="5" t="s">
        <v>121</v>
      </c>
      <c r="D19" s="5" t="s">
        <v>92</v>
      </c>
      <c r="E19" s="5" t="s">
        <v>122</v>
      </c>
      <c r="F19" s="5" t="s">
        <v>123</v>
      </c>
      <c r="G19" s="5" t="s">
        <v>124</v>
      </c>
      <c r="H19" s="5" t="s">
        <v>125</v>
      </c>
      <c r="I19" s="6"/>
      <c r="J19" s="6"/>
      <c r="K19" s="6"/>
      <c r="L19" s="6"/>
    </row>
    <row r="20" customFormat="false" ht="168.65" hidden="false" customHeight="false" outlineLevel="0" collapsed="false">
      <c r="A20" s="5" t="n">
        <v>19</v>
      </c>
      <c r="B20" s="5" t="s">
        <v>126</v>
      </c>
      <c r="C20" s="5" t="s">
        <v>26</v>
      </c>
      <c r="D20" s="5" t="s">
        <v>127</v>
      </c>
      <c r="E20" s="5" t="s">
        <v>26</v>
      </c>
      <c r="F20" s="5" t="s">
        <v>28</v>
      </c>
      <c r="G20" s="5" t="s">
        <v>128</v>
      </c>
      <c r="H20" s="5" t="s">
        <v>129</v>
      </c>
      <c r="I20" s="6"/>
      <c r="J20" s="6"/>
      <c r="K20" s="6"/>
      <c r="L20" s="6"/>
    </row>
    <row r="21" customFormat="false" ht="85.05" hidden="false" customHeight="false" outlineLevel="0" collapsed="false">
      <c r="A21" s="5" t="n">
        <v>20</v>
      </c>
      <c r="B21" s="5" t="s">
        <v>130</v>
      </c>
      <c r="C21" s="5" t="s">
        <v>115</v>
      </c>
      <c r="D21" s="5" t="s">
        <v>127</v>
      </c>
      <c r="E21" s="5" t="s">
        <v>115</v>
      </c>
      <c r="F21" s="5" t="s">
        <v>131</v>
      </c>
      <c r="G21" s="5" t="s">
        <v>132</v>
      </c>
      <c r="H21" s="5" t="s">
        <v>133</v>
      </c>
      <c r="I21" s="6"/>
      <c r="J21" s="6"/>
      <c r="K21" s="6"/>
      <c r="L21" s="6"/>
    </row>
    <row r="22" customFormat="false" ht="43.25" hidden="false" customHeight="false" outlineLevel="0" collapsed="false">
      <c r="A22" s="5" t="n">
        <v>21</v>
      </c>
      <c r="B22" s="5" t="s">
        <v>134</v>
      </c>
      <c r="C22" s="5" t="s">
        <v>135</v>
      </c>
      <c r="D22" s="5" t="s">
        <v>127</v>
      </c>
      <c r="E22" s="5" t="s">
        <v>135</v>
      </c>
      <c r="F22" s="5" t="s">
        <v>136</v>
      </c>
      <c r="G22" s="5" t="s">
        <v>137</v>
      </c>
      <c r="H22" s="5" t="s">
        <v>138</v>
      </c>
      <c r="I22" s="6"/>
      <c r="J22" s="6"/>
      <c r="K22" s="6"/>
      <c r="L22" s="6"/>
    </row>
    <row r="23" customFormat="false" ht="158.2" hidden="false" customHeight="false" outlineLevel="0" collapsed="false">
      <c r="A23" s="5" t="n">
        <v>22</v>
      </c>
      <c r="B23" s="5" t="s">
        <v>139</v>
      </c>
      <c r="C23" s="5" t="s">
        <v>140</v>
      </c>
      <c r="D23" s="5" t="s">
        <v>127</v>
      </c>
      <c r="E23" s="5" t="s">
        <v>140</v>
      </c>
      <c r="F23" s="5" t="s">
        <v>141</v>
      </c>
      <c r="G23" s="5" t="s">
        <v>142</v>
      </c>
      <c r="H23" s="5" t="s">
        <v>143</v>
      </c>
      <c r="I23" s="6"/>
      <c r="J23" s="6"/>
      <c r="K23" s="6"/>
      <c r="L23" s="6"/>
    </row>
    <row r="24" customFormat="false" ht="64.15" hidden="false" customHeight="false" outlineLevel="0" collapsed="false">
      <c r="A24" s="5" t="n">
        <v>23</v>
      </c>
      <c r="B24" s="5" t="s">
        <v>144</v>
      </c>
      <c r="C24" s="5" t="s">
        <v>145</v>
      </c>
      <c r="D24" s="5" t="s">
        <v>127</v>
      </c>
      <c r="E24" s="5" t="s">
        <v>146</v>
      </c>
      <c r="F24" s="5" t="s">
        <v>147</v>
      </c>
      <c r="G24" s="5" t="s">
        <v>148</v>
      </c>
      <c r="H24" s="5" t="s">
        <v>149</v>
      </c>
      <c r="I24" s="6"/>
      <c r="J24" s="6"/>
      <c r="K24" s="6"/>
      <c r="L24" s="6"/>
    </row>
    <row r="25" customFormat="false" ht="85.05" hidden="false" customHeight="false" outlineLevel="0" collapsed="false">
      <c r="A25" s="5" t="n">
        <v>24</v>
      </c>
      <c r="B25" s="5" t="s">
        <v>150</v>
      </c>
      <c r="C25" s="5" t="s">
        <v>91</v>
      </c>
      <c r="D25" s="5" t="s">
        <v>127</v>
      </c>
      <c r="E25" s="5" t="s">
        <v>91</v>
      </c>
      <c r="F25" s="5" t="s">
        <v>151</v>
      </c>
      <c r="G25" s="5" t="s">
        <v>152</v>
      </c>
      <c r="H25" s="5" t="s">
        <v>153</v>
      </c>
      <c r="I25" s="6"/>
      <c r="J25" s="6"/>
      <c r="K25" s="6"/>
      <c r="L25" s="6"/>
    </row>
  </sheetData>
  <dataValidations count="2">
    <dataValidation allowBlank="true" errorStyle="stop" operator="between" showDropDown="false" showErrorMessage="false" showInputMessage="false" sqref="I2:J25" type="list">
      <formula1>"Y,N"</formula1>
      <formula2>0</formula2>
    </dataValidation>
    <dataValidation allowBlank="true" errorStyle="stop" operator="between" showDropDown="false" showErrorMessage="false" showInputMessage="false" sqref="K2:K25" type="list">
      <formula1>"Equivalent,Prose says more,Formal says more,Conflict"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7" t="s">
        <v>154</v>
      </c>
    </row>
    <row r="2" customFormat="false" ht="15" hidden="false" customHeight="false" outlineLevel="0" collapsed="false">
      <c r="A2" s="8" t="s">
        <v>155</v>
      </c>
      <c r="B2" s="8" t="n">
        <f aca="false">COUNTA(Audit!B2:B25)</f>
        <v>24</v>
      </c>
    </row>
    <row r="3" customFormat="false" ht="15" hidden="false" customHeight="false" outlineLevel="0" collapsed="false">
      <c r="A3" s="8" t="s">
        <v>156</v>
      </c>
      <c r="B3" s="8" t="n">
        <f aca="false">COUNTA(Audit!K2:K25)</f>
        <v>0</v>
      </c>
    </row>
    <row r="4" customFormat="false" ht="15" hidden="false" customHeight="false" outlineLevel="0" collapsed="false">
      <c r="A4" s="8" t="s">
        <v>157</v>
      </c>
      <c r="B4" s="8" t="n">
        <f aca="false">COUNTIF(Audit!I2:I25,"Y")</f>
        <v>0</v>
      </c>
    </row>
    <row r="5" customFormat="false" ht="15" hidden="false" customHeight="false" outlineLevel="0" collapsed="false">
      <c r="A5" s="8" t="s">
        <v>158</v>
      </c>
      <c r="B5" s="8" t="n">
        <f aca="false">COUNTIF(Audit!J2:J25,"Y")</f>
        <v>0</v>
      </c>
    </row>
    <row r="6" customFormat="false" ht="15" hidden="false" customHeight="false" outlineLevel="0" collapsed="false">
      <c r="A6" s="8" t="s">
        <v>159</v>
      </c>
      <c r="B6" s="8" t="n">
        <f aca="false">COUNTIF(Audit!K2:K25,"Equivalent")</f>
        <v>0</v>
      </c>
    </row>
    <row r="7" customFormat="false" ht="15" hidden="false" customHeight="false" outlineLevel="0" collapsed="false">
      <c r="A7" s="8" t="s">
        <v>160</v>
      </c>
      <c r="B7" s="8" t="n">
        <f aca="false">COUNTIF(Audit!K2:K25,"Prose says more")</f>
        <v>0</v>
      </c>
    </row>
    <row r="8" customFormat="false" ht="15" hidden="false" customHeight="false" outlineLevel="0" collapsed="false">
      <c r="A8" s="8" t="s">
        <v>161</v>
      </c>
      <c r="B8" s="8" t="n">
        <f aca="false">COUNTIF(Audit!K2:K25,"Formal says more")</f>
        <v>0</v>
      </c>
    </row>
    <row r="9" customFormat="false" ht="15" hidden="false" customHeight="false" outlineLevel="0" collapsed="false">
      <c r="A9" s="8" t="s">
        <v>162</v>
      </c>
      <c r="B9" s="8" t="n">
        <f aca="false">COUNTIF(Audit!K2:K25,"Conflict")</f>
        <v>0</v>
      </c>
    </row>
    <row r="10" customFormat="false" ht="15" hidden="false" customHeight="false" outlineLevel="0" collapsed="false">
      <c r="A10" s="8" t="s">
        <v>163</v>
      </c>
      <c r="B10" s="9" t="n">
        <f aca="false">IFERROR(B6/B3,0)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2026-10-15T19:50:05Z</dcterms:created>
  <dc:creator>openpyxl</dc:creator>
  <dc:description/>
  <dc:language>en-US</dc:language>
  <cp:lastModifiedBy/>
  <dcterms:modified xsi:type="dcterms:W3CDTF">2026-10-15T19:50:05Z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